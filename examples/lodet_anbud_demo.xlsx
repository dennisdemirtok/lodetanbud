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bud" sheetId="1" state="visible" r:id="rId3"/>
    <sheet name="Sammanfattning" sheetId="2" state="visible" r:id="rId4"/>
    <sheet name="Historik per ra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<sst xmlns="http://schemas.openxmlformats.org/spreadsheetml/2006/main" count="360" uniqueCount="158">
  <si>
    <t xml:space="preserve">LODET</t>
  </si>
  <si>
    <t xml:space="preserve">Anbudsförslag — utkast för granskning</t>
  </si>
  <si>
    <t xml:space="preserve">Projekt</t>
  </si>
  <si>
    <t xml:space="preserve">VÄG 875, GC SUNDBORN</t>
  </si>
  <si>
    <t xml:space="preserve">Dokumentnr</t>
  </si>
  <si>
    <t xml:space="preserve">1E12MF10</t>
  </si>
  <si>
    <t xml:space="preserve">Status</t>
  </si>
  <si>
    <t xml:space="preserve">PROJEKT</t>
  </si>
  <si>
    <t xml:space="preserve">Datum</t>
  </si>
  <si>
    <t xml:space="preserve">2025-06-12</t>
  </si>
  <si>
    <t xml:space="preserve">Genererat av Lodet</t>
  </si>
  <si>
    <t xml:space="preserve">2026-04-30 (utkast v1)</t>
  </si>
  <si>
    <t xml:space="preserve">AMA-kod</t>
  </si>
  <si>
    <t xml:space="preserve">Beskrivning</t>
  </si>
  <si>
    <t xml:space="preserve">Enhet</t>
  </si>
  <si>
    <t xml:space="preserve">Antal</t>
  </si>
  <si>
    <t xml:space="preserve">À-pris (förslag)</t>
  </si>
  <si>
    <t xml:space="preserve">Belopp (förslag)</t>
  </si>
  <si>
    <t xml:space="preserve">Konf.</t>
  </si>
  <si>
    <t xml:space="preserve">Träffar</t>
  </si>
  <si>
    <t xml:space="preserve">À-pris (justerat)</t>
  </si>
  <si>
    <t xml:space="preserve">Belopp (justerat)</t>
  </si>
  <si>
    <t xml:space="preserve">Kommentar</t>
  </si>
  <si>
    <t xml:space="preserve">B — Förarbeten, hjälparbeten, saneringsarbeten</t>
  </si>
  <si>
    <t xml:space="preserve">BBC.6</t>
  </si>
  <si>
    <t xml:space="preserve">Undersökning av befintliga ledningar</t>
  </si>
  <si>
    <t xml:space="preserve">—</t>
  </si>
  <si>
    <t xml:space="preserve">låg</t>
  </si>
  <si>
    <t xml:space="preserve">Ingen historisk match — manuell prissättning krävs</t>
  </si>
  <si>
    <t xml:space="preserve">BEC.611</t>
  </si>
  <si>
    <t xml:space="preserve">Armatur B1</t>
  </si>
  <si>
    <t xml:space="preserve">st</t>
  </si>
  <si>
    <t xml:space="preserve">medel</t>
  </si>
  <si>
    <t xml:space="preserve">4 historiska träffar, indexjusterat E84</t>
  </si>
  <si>
    <t xml:space="preserve">BED.61</t>
  </si>
  <si>
    <t xml:space="preserve">Stolpcentraler</t>
  </si>
  <si>
    <t xml:space="preserve">2 historiska träffar, indexjusterat E84</t>
  </si>
  <si>
    <t xml:space="preserve">Belysningsstolpar</t>
  </si>
  <si>
    <t xml:space="preserve">Belysningskabel &lt;30-90 0/700-0/830</t>
  </si>
  <si>
    <t xml:space="preserve">m</t>
  </si>
  <si>
    <t xml:space="preserve">Belysningskabel &lt;30-90 0/300</t>
  </si>
  <si>
    <t xml:space="preserve">Belysningskabel &lt;30°–90° 0/300-0/560</t>
  </si>
  <si>
    <t xml:space="preserve">8 historiska träffar, indexjusterat E84</t>
  </si>
  <si>
    <t xml:space="preserve">Belysningskabel  &lt;30°–90°  sektion 0/560-0/700</t>
  </si>
  <si>
    <t xml:space="preserve">hög</t>
  </si>
  <si>
    <t xml:space="preserve">6 historiska träffar, indexjusterat E84</t>
  </si>
  <si>
    <t xml:space="preserve">Belysningskabel  &lt;30°–90° sektion 0/000-0/300</t>
  </si>
  <si>
    <t xml:space="preserve">3 historiska träffar, indexjusterat E84</t>
  </si>
  <si>
    <t xml:space="preserve">Belysningskabel &lt;30°  0/830-0/961</t>
  </si>
  <si>
    <t xml:space="preserve">Belysningsfundament</t>
  </si>
  <si>
    <t xml:space="preserve">BJD.1</t>
  </si>
  <si>
    <t xml:space="preserve">Stomnät</t>
  </si>
  <si>
    <t xml:space="preserve">BJD.26</t>
  </si>
  <si>
    <t xml:space="preserve">Inmätning av el- och teleinstallationer</t>
  </si>
  <si>
    <t xml:space="preserve">BJD.36</t>
  </si>
  <si>
    <t xml:space="preserve">Utsättning av el- och teleinstallationer</t>
  </si>
  <si>
    <t xml:space="preserve">S — Apparater, ledningar m.m. i el- och telesystem</t>
  </si>
  <si>
    <t xml:space="preserve">SBB.211</t>
  </si>
  <si>
    <t xml:space="preserve">Montering av fundament till kabelskåp(belysning)</t>
  </si>
  <si>
    <t xml:space="preserve">Montering av fundament till kabelskåp(styrutrustning)</t>
  </si>
  <si>
    <t xml:space="preserve">SBC.21</t>
  </si>
  <si>
    <t xml:space="preserve">Belysningsstolpe typ DY01</t>
  </si>
  <si>
    <t xml:space="preserve">5 historiska träffar, indexjusterat E84</t>
  </si>
  <si>
    <t xml:space="preserve">Belysningsstolpe typ DY02</t>
  </si>
  <si>
    <t xml:space="preserve">Belysningsstolpe typ DY03</t>
  </si>
  <si>
    <t xml:space="preserve">SBC.43</t>
  </si>
  <si>
    <t xml:space="preserve">Stolpinsats, Ensto LCK4-06.1-06A, E7779866 eller likvärdig</t>
  </si>
  <si>
    <t xml:space="preserve">Stolpinsats, Fingal Johnsson STS-2-4-MK 6A E77 718 16 eller likvärdig</t>
  </si>
  <si>
    <t xml:space="preserve">SBN.112</t>
  </si>
  <si>
    <t xml:space="preserve">SRN 50 för vägbelysning</t>
  </si>
  <si>
    <t xml:space="preserve">SBN.122</t>
  </si>
  <si>
    <t xml:space="preserve">SRS 110 för vägbelysning</t>
  </si>
  <si>
    <t xml:space="preserve">SCB.72</t>
  </si>
  <si>
    <t xml:space="preserve">SE-N1XE-R 4G16, gul mantel</t>
  </si>
  <si>
    <t xml:space="preserve">SCC.822</t>
  </si>
  <si>
    <t xml:space="preserve">Förmonterad kabel för armaturer ingår i kod SND.1</t>
  </si>
  <si>
    <t xml:space="preserve">SEC.22</t>
  </si>
  <si>
    <t xml:space="preserve">Diazed gG 6A (stolpcentraler)</t>
  </si>
  <si>
    <t xml:space="preserve">SKB.32</t>
  </si>
  <si>
    <t xml:space="preserve">Montering kabelskåp för lågspänning(belysningscentral)</t>
  </si>
  <si>
    <t xml:space="preserve">Montering kabelskåp för lågspänning(styrutrustning)</t>
  </si>
  <si>
    <t xml:space="preserve">SND.1</t>
  </si>
  <si>
    <t xml:space="preserve">Fagerhult Opalume 306200-24761</t>
  </si>
  <si>
    <t xml:space="preserve">Fagerhult Opalume 306200-24766</t>
  </si>
  <si>
    <t xml:space="preserve">Fagerhult Opalume 306200-24385</t>
  </si>
  <si>
    <t xml:space="preserve">Y — Märkning, kontroll, dokumentation, mediaförsörjning</t>
  </si>
  <si>
    <t xml:space="preserve">YFB.631</t>
  </si>
  <si>
    <t xml:space="preserve">Anmälningshandlingar</t>
  </si>
  <si>
    <t xml:space="preserve">YG</t>
  </si>
  <si>
    <t xml:space="preserve">Märkning och skyltning enligt separat skyltlista</t>
  </si>
  <si>
    <t xml:space="preserve">YGB.61</t>
  </si>
  <si>
    <t xml:space="preserve">Märkning av kanalisation</t>
  </si>
  <si>
    <t xml:space="preserve">YGB.6312</t>
  </si>
  <si>
    <t xml:space="preserve">Märkning av kabelskåp</t>
  </si>
  <si>
    <t xml:space="preserve">YGB.6321</t>
  </si>
  <si>
    <t xml:space="preserve">Märkning av huvudledningar</t>
  </si>
  <si>
    <t xml:space="preserve">YGB.6322</t>
  </si>
  <si>
    <t xml:space="preserve">Märkning av gruppledningar</t>
  </si>
  <si>
    <t xml:space="preserve">YGB.6333</t>
  </si>
  <si>
    <t xml:space="preserve">Märkning av platsutrustningar i belysnings- och ljussystem</t>
  </si>
  <si>
    <t xml:space="preserve">YGC.63</t>
  </si>
  <si>
    <t xml:space="preserve">Skyltning för elkraftinstallationer</t>
  </si>
  <si>
    <t xml:space="preserve">YHB.6</t>
  </si>
  <si>
    <t xml:space="preserve">Egenkontroll enligt kontrollprogram</t>
  </si>
  <si>
    <t xml:space="preserve">YHB.63</t>
  </si>
  <si>
    <t xml:space="preserve">Kontroll av elkraftsystem</t>
  </si>
  <si>
    <t xml:space="preserve">YHB.632</t>
  </si>
  <si>
    <t xml:space="preserve">Kontroll av belysnings- och ljussystem</t>
  </si>
  <si>
    <t xml:space="preserve">YJD.63</t>
  </si>
  <si>
    <t xml:space="preserve">Underlag för relationshandling för elkraftinstallationer</t>
  </si>
  <si>
    <t xml:space="preserve">YJF.6</t>
  </si>
  <si>
    <t xml:space="preserve">Leveranser enligt projektanpassad leveransplan
TMALL 0343</t>
  </si>
  <si>
    <t xml:space="preserve">YJG.6</t>
  </si>
  <si>
    <t xml:space="preserve">Kontrolldokument, intyg o d för el- och teleinstallationer</t>
  </si>
  <si>
    <t xml:space="preserve">YJJ.6</t>
  </si>
  <si>
    <t xml:space="preserve">Miljödokumentation för el-och teleinstallationer</t>
  </si>
  <si>
    <t xml:space="preserve">YJK.6</t>
  </si>
  <si>
    <t xml:space="preserve">Produktdokumentation för el- och teleinstallationer</t>
  </si>
  <si>
    <t xml:space="preserve">YJL.63</t>
  </si>
  <si>
    <t xml:space="preserve">Drift- och underhållsinstruktioner för elkraftsinstallationer</t>
  </si>
  <si>
    <t xml:space="preserve">ANBUDSSUMMA</t>
  </si>
  <si>
    <t xml:space="preserve">SAMMANFATTNING</t>
  </si>
  <si>
    <t xml:space="preserve">Matchningskvalitet</t>
  </si>
  <si>
    <t xml:space="preserve">Totalt antal rader</t>
  </si>
  <si>
    <t xml:space="preserve">Rader med AI-förslag</t>
  </si>
  <si>
    <t xml:space="preserve">Rader utan match (manuell)</t>
  </si>
  <si>
    <t xml:space="preserve">Klumpsummerader</t>
  </si>
  <si>
    <t xml:space="preserve">Konfidensfördelning</t>
  </si>
  <si>
    <t xml:space="preserve">Hög konfidens</t>
  </si>
  <si>
    <t xml:space="preserve">Medel konfidens</t>
  </si>
  <si>
    <t xml:space="preserve">Låg konfidens</t>
  </si>
  <si>
    <t xml:space="preserve">Anbudssumma</t>
  </si>
  <si>
    <t xml:space="preserve">Förslag (AI)</t>
  </si>
  <si>
    <t xml:space="preserve">Justerat (efter granskning)</t>
  </si>
  <si>
    <t xml:space="preserve">Att granska innan inlämning</t>
  </si>
  <si>
    <t xml:space="preserve">☐  Kontrollera alla rader med låg konfidens — manuell prissättning kan krävas</t>
  </si>
  <si>
    <t xml:space="preserve">☐  Verifiera UE-poster (kolumn med UE-kategori, ej i denna demo)</t>
  </si>
  <si>
    <t xml:space="preserve">☐  Granska klumpsummerader och sätt rätt belopp där de är 1 kr (placeholder)</t>
  </si>
  <si>
    <t xml:space="preserve">☐  Lägg på generellt påslag för marknadsläge (om relevant)</t>
  </si>
  <si>
    <t xml:space="preserve">☐  Kontrollera att alla AMA-koder från förfrågan finns med</t>
  </si>
  <si>
    <t xml:space="preserve">HISTORISKA MATCHNINGAR</t>
  </si>
  <si>
    <t xml:space="preserve">Per anbudsrad: vilka tidigare offerter användes som referens?</t>
  </si>
  <si>
    <t xml:space="preserve">Match-rang</t>
  </si>
  <si>
    <t xml:space="preserve">Källprojekt</t>
  </si>
  <si>
    <t xml:space="preserve">Källdatum</t>
  </si>
  <si>
    <t xml:space="preserve">Hist. à-pris</t>
  </si>
  <si>
    <t xml:space="preserve">Indexjusterat</t>
  </si>
  <si>
    <t xml:space="preserve">Likhet</t>
  </si>
  <si>
    <t xml:space="preserve">Vägbelysning Rv 84, Ljusdal</t>
  </si>
  <si>
    <t xml:space="preserve">2025-01-20</t>
  </si>
  <si>
    <t xml:space="preserve">Kv. Tegelbruket etapp 2, Sundsvall</t>
  </si>
  <si>
    <t xml:space="preserve">2024-03-15</t>
  </si>
  <si>
    <t xml:space="preserve">GC-väg Skogsbacken, Sollefteå</t>
  </si>
  <si>
    <t xml:space="preserve">2023-09-22</t>
  </si>
  <si>
    <t xml:space="preserve">Belysning Industrigatan, Härnösand</t>
  </si>
  <si>
    <t xml:space="preserve">2024-11-08</t>
  </si>
  <si>
    <t xml:space="preserve">Renovering Storgatan, Bollnäs</t>
  </si>
  <si>
    <t xml:space="preserve">2023-06-14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</si>
</sst>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#,##0&quot; kr&quot;;\(#,##0\);\-"/>
    <numFmt numFmtId="167" formatCode="#,##0&quot; kr&quot;"/>
    <numFmt numFmtId="168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C2C3A"/>
      <name val="Inter"/>
      <family val="0"/>
      <charset val="1"/>
    </font>
    <font>
      <i val="true"/>
      <sz val="10"/>
      <color rgb="FF6B6B6B"/>
      <name val="Inter"/>
      <family val="0"/>
      <charset val="1"/>
    </font>
    <font>
      <b val="true"/>
      <sz val="10"/>
      <color rgb="FF1C2C3A"/>
      <name val="Inter"/>
      <family val="0"/>
      <charset val="1"/>
    </font>
    <font>
      <sz val="10"/>
      <color rgb="FF2B2B2B"/>
      <name val="Inter"/>
      <family val="0"/>
      <charset val="1"/>
    </font>
    <font>
      <b val="true"/>
      <sz val="10"/>
      <color rgb="FFFFFFFF"/>
      <name val="Inter"/>
      <family val="0"/>
      <charset val="1"/>
    </font>
    <font>
      <sz val="10"/>
      <color rgb="FF2B2B2B"/>
      <name val="JetBrains Mono"/>
      <family val="0"/>
      <charset val="1"/>
    </font>
    <font>
      <b val="true"/>
      <sz val="10"/>
      <color rgb="FFB8572E"/>
      <name val="Inter"/>
      <family val="0"/>
      <charset val="1"/>
    </font>
    <font>
      <b val="true"/>
      <sz val="10"/>
      <color rgb="FF8A6A0F"/>
      <name val="Inter"/>
      <family val="0"/>
      <charset val="1"/>
    </font>
    <font>
      <b val="true"/>
      <sz val="10"/>
      <color rgb="FF6B8E5B"/>
      <name val="Inter"/>
      <family val="0"/>
      <charset val="1"/>
    </font>
    <font>
      <b val="true"/>
      <sz val="11"/>
      <color rgb="FF1C2C3A"/>
      <name val="Inter"/>
      <family val="0"/>
      <charset val="1"/>
    </font>
    <font>
      <b val="true"/>
      <sz val="11"/>
      <color rgb="FF1C2C3A"/>
      <name val="JetBrains Mono"/>
      <family val="0"/>
      <charset val="1"/>
    </font>
    <font>
      <b val="true"/>
      <sz val="12"/>
      <color rgb="FF1C2C3A"/>
      <name val="Inter"/>
      <family val="0"/>
      <charset val="1"/>
    </font>
    <font>
      <b val="true"/>
      <sz val="10"/>
      <color rgb="FF1C2C3A"/>
      <name val="JetBrains Mono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C2C3A"/>
        <bgColor rgb="FF2B2B2B"/>
      </patternFill>
    </fill>
    <fill>
      <patternFill patternType="solid">
        <fgColor rgb="FFB8572E"/>
        <bgColor rgb="FF8A6A0F"/>
      </patternFill>
    </fill>
    <fill>
      <patternFill patternType="solid">
        <fgColor rgb="FFFBF1D8"/>
        <bgColor rgb="FFEDE9E1"/>
      </patternFill>
    </fill>
    <fill>
      <patternFill patternType="solid">
        <fgColor rgb="FFF0DDD3"/>
        <bgColor rgb="FFEDE9E1"/>
      </patternFill>
    </fill>
    <fill>
      <patternFill patternType="solid">
        <fgColor rgb="FFDCE6D4"/>
        <bgColor rgb="FFEDE9E1"/>
      </patternFill>
    </fill>
    <fill>
      <patternFill patternType="solid">
        <fgColor rgb="FFD4A017"/>
        <bgColor rgb="FFFFCC00"/>
      </patternFill>
    </fill>
    <fill>
      <patternFill patternType="solid">
        <fgColor rgb="FFEDE9E1"/>
        <bgColor rgb="FFFBF1D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4CFC4"/>
      </left>
      <right style="thin">
        <color rgb="FFD4CFC4"/>
      </right>
      <top style="thin">
        <color rgb="FFD4CFC4"/>
      </top>
      <bottom style="thin">
        <color rgb="FFD4CFC4"/>
      </bottom>
      <diagonal/>
    </border>
    <border diagonalUp="false" diagonalDown="false">
      <left/>
      <right/>
      <top style="medium">
        <color rgb="FF1C2C3A"/>
      </top>
      <bottom style="medium">
        <color rgb="FF1C2C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A0F"/>
      <rgbColor rgb="FF800080"/>
      <rgbColor rgb="FF008080"/>
      <rgbColor rgb="FFD4CFC4"/>
      <rgbColor rgb="FF6B8E5B"/>
      <rgbColor rgb="FF9999FF"/>
      <rgbColor rgb="FF993366"/>
      <rgbColor rgb="FFFBF1D8"/>
      <rgbColor rgb="FFEDE9E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6D4"/>
      <rgbColor rgb="FFFFFF99"/>
      <rgbColor rgb="FF99CCFF"/>
      <rgbColor rgb="FFFF99CC"/>
      <rgbColor rgb="FFCC99FF"/>
      <rgbColor rgb="FFF0DDD3"/>
      <rgbColor rgb="FF3366FF"/>
      <rgbColor rgb="FF33CCCC"/>
      <rgbColor rgb="FF99CC00"/>
      <rgbColor rgb="FFFFCC00"/>
      <rgbColor rgb="FFD4A017"/>
      <rgbColor rgb="FFFF6600"/>
      <rgbColor rgb="FF6B6B6B"/>
      <rgbColor rgb="FF969696"/>
      <rgbColor rgb="FF1C2C3A"/>
      <rgbColor rgb="FF339966"/>
      <rgbColor rgb="FF003300"/>
      <rgbColor rgb="FF333300"/>
      <rgbColor rgb="FFB8572E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10" min="9" style="0" width="15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11" customFormat="false" ht="27.75" hidden="false" customHeight="true" outlineLevel="0" collapsed="false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  <c r="H11" s="5" t="s">
        <v>19</v>
      </c>
      <c r="I11" s="5" t="s">
        <v>20</v>
      </c>
      <c r="J11" s="5" t="s">
        <v>21</v>
      </c>
      <c r="K11" s="5" t="s">
        <v>22</v>
      </c>
    </row>
    <row r="12" customFormat="false" ht="21.75" hidden="false" customHeight="true" outlineLevel="0" collapsed="false">
      <c r="A12" s="6" t="s">
        <v>23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customFormat="false" ht="23.85" hidden="false" customHeight="false" outlineLevel="0" collapsed="false">
      <c r="A13" s="7" t="s">
        <v>24</v>
      </c>
      <c r="B13" s="8" t="s">
        <v>25</v>
      </c>
      <c r="C13" s="8" t="s">
        <v>26</v>
      </c>
      <c r="D13" s="9"/>
      <c r="E13" s="10"/>
      <c r="F13" s="10" t="n">
        <v>1</v>
      </c>
      <c r="G13" s="11" t="s">
        <v>27</v>
      </c>
      <c r="H13" s="7"/>
      <c r="I13" s="12"/>
      <c r="J13" s="12" t="n">
        <f aca="false">IF(I13&lt;&gt;"",I13*D13,F13)</f>
        <v>1</v>
      </c>
      <c r="K13" s="8" t="s">
        <v>28</v>
      </c>
    </row>
    <row r="14" customFormat="false" ht="23.85" hidden="false" customHeight="false" outlineLevel="0" collapsed="false">
      <c r="A14" s="7" t="s">
        <v>29</v>
      </c>
      <c r="B14" s="8" t="s">
        <v>30</v>
      </c>
      <c r="C14" s="8" t="s">
        <v>31</v>
      </c>
      <c r="D14" s="9" t="n">
        <v>29</v>
      </c>
      <c r="E14" s="10" t="n">
        <v>617</v>
      </c>
      <c r="F14" s="10" t="n">
        <f aca="false">D14*E14</f>
        <v>17893</v>
      </c>
      <c r="G14" s="13" t="s">
        <v>32</v>
      </c>
      <c r="H14" s="7" t="n">
        <v>4</v>
      </c>
      <c r="I14" s="12"/>
      <c r="J14" s="12" t="n">
        <f aca="false">IF(I14&lt;&gt;"",I14*D14,F14)</f>
        <v>17893</v>
      </c>
      <c r="K14" s="8" t="s">
        <v>33</v>
      </c>
    </row>
    <row r="15" customFormat="false" ht="23.85" hidden="false" customHeight="false" outlineLevel="0" collapsed="false">
      <c r="A15" s="7" t="s">
        <v>34</v>
      </c>
      <c r="B15" s="8" t="s">
        <v>35</v>
      </c>
      <c r="C15" s="8" t="s">
        <v>31</v>
      </c>
      <c r="D15" s="9" t="n">
        <v>29</v>
      </c>
      <c r="E15" s="10" t="n">
        <v>387</v>
      </c>
      <c r="F15" s="10" t="n">
        <f aca="false">D15*E15</f>
        <v>11223</v>
      </c>
      <c r="G15" s="11" t="s">
        <v>27</v>
      </c>
      <c r="H15" s="7" t="n">
        <v>2</v>
      </c>
      <c r="I15" s="12"/>
      <c r="J15" s="12" t="n">
        <f aca="false">IF(I15&lt;&gt;"",I15*D15,F15)</f>
        <v>11223</v>
      </c>
      <c r="K15" s="8" t="s">
        <v>36</v>
      </c>
    </row>
    <row r="16" customFormat="false" ht="23.85" hidden="false" customHeight="false" outlineLevel="0" collapsed="false">
      <c r="A16" s="7" t="s">
        <v>34</v>
      </c>
      <c r="B16" s="8" t="s">
        <v>37</v>
      </c>
      <c r="C16" s="8" t="s">
        <v>31</v>
      </c>
      <c r="D16" s="9" t="n">
        <v>29</v>
      </c>
      <c r="E16" s="10" t="n">
        <v>439</v>
      </c>
      <c r="F16" s="10" t="n">
        <f aca="false">D16*E16</f>
        <v>12731</v>
      </c>
      <c r="G16" s="11" t="s">
        <v>27</v>
      </c>
      <c r="H16" s="7" t="n">
        <v>2</v>
      </c>
      <c r="I16" s="12"/>
      <c r="J16" s="12" t="n">
        <f aca="false">IF(I16&lt;&gt;"",I16*D16,F16)</f>
        <v>12731</v>
      </c>
      <c r="K16" s="8" t="s">
        <v>36</v>
      </c>
    </row>
    <row r="17" customFormat="false" ht="23.85" hidden="false" customHeight="false" outlineLevel="0" collapsed="false">
      <c r="A17" s="7" t="s">
        <v>34</v>
      </c>
      <c r="B17" s="8" t="s">
        <v>38</v>
      </c>
      <c r="C17" s="8" t="s">
        <v>39</v>
      </c>
      <c r="D17" s="9" t="n">
        <v>310</v>
      </c>
      <c r="E17" s="10" t="n">
        <v>29</v>
      </c>
      <c r="F17" s="10" t="n">
        <f aca="false">D17*E17</f>
        <v>8990</v>
      </c>
      <c r="G17" s="11" t="s">
        <v>27</v>
      </c>
      <c r="H17" s="7" t="n">
        <v>2</v>
      </c>
      <c r="I17" s="12"/>
      <c r="J17" s="12" t="n">
        <f aca="false">IF(I17&lt;&gt;"",I17*D17,F17)</f>
        <v>8990</v>
      </c>
      <c r="K17" s="8" t="s">
        <v>36</v>
      </c>
    </row>
    <row r="18" customFormat="false" ht="23.85" hidden="false" customHeight="false" outlineLevel="0" collapsed="false">
      <c r="A18" s="7" t="s">
        <v>34</v>
      </c>
      <c r="B18" s="8" t="s">
        <v>40</v>
      </c>
      <c r="C18" s="8" t="s">
        <v>39</v>
      </c>
      <c r="D18" s="9" t="n">
        <v>40</v>
      </c>
      <c r="E18" s="10" t="n">
        <v>29</v>
      </c>
      <c r="F18" s="10" t="n">
        <f aca="false">D18*E18</f>
        <v>1160</v>
      </c>
      <c r="G18" s="11" t="s">
        <v>27</v>
      </c>
      <c r="H18" s="7" t="n">
        <v>2</v>
      </c>
      <c r="I18" s="12"/>
      <c r="J18" s="12" t="n">
        <f aca="false">IF(I18&lt;&gt;"",I18*D18,F18)</f>
        <v>1160</v>
      </c>
      <c r="K18" s="8" t="s">
        <v>36</v>
      </c>
    </row>
    <row r="19" customFormat="false" ht="23.85" hidden="false" customHeight="false" outlineLevel="0" collapsed="false">
      <c r="A19" s="7" t="s">
        <v>34</v>
      </c>
      <c r="B19" s="8" t="s">
        <v>41</v>
      </c>
      <c r="C19" s="8" t="s">
        <v>39</v>
      </c>
      <c r="D19" s="9" t="n">
        <v>290</v>
      </c>
      <c r="E19" s="10" t="n">
        <v>29</v>
      </c>
      <c r="F19" s="10" t="n">
        <f aca="false">D19*E19</f>
        <v>8410</v>
      </c>
      <c r="G19" s="13" t="s">
        <v>32</v>
      </c>
      <c r="H19" s="7" t="n">
        <v>8</v>
      </c>
      <c r="I19" s="12"/>
      <c r="J19" s="12" t="n">
        <f aca="false">IF(I19&lt;&gt;"",I19*D19,F19)</f>
        <v>8410</v>
      </c>
      <c r="K19" s="8" t="s">
        <v>42</v>
      </c>
    </row>
    <row r="20" customFormat="false" ht="23.85" hidden="false" customHeight="false" outlineLevel="0" collapsed="false">
      <c r="A20" s="7" t="s">
        <v>34</v>
      </c>
      <c r="B20" s="8" t="s">
        <v>43</v>
      </c>
      <c r="C20" s="8" t="s">
        <v>39</v>
      </c>
      <c r="D20" s="9" t="n">
        <v>20</v>
      </c>
      <c r="E20" s="10" t="n">
        <v>29</v>
      </c>
      <c r="F20" s="10" t="n">
        <f aca="false">D20*E20</f>
        <v>580</v>
      </c>
      <c r="G20" s="14" t="s">
        <v>44</v>
      </c>
      <c r="H20" s="7" t="n">
        <v>6</v>
      </c>
      <c r="I20" s="12"/>
      <c r="J20" s="12" t="n">
        <f aca="false">IF(I20&lt;&gt;"",I20*D20,F20)</f>
        <v>580</v>
      </c>
      <c r="K20" s="8" t="s">
        <v>45</v>
      </c>
    </row>
    <row r="21" customFormat="false" ht="23.85" hidden="false" customHeight="false" outlineLevel="0" collapsed="false">
      <c r="A21" s="7" t="s">
        <v>34</v>
      </c>
      <c r="B21" s="8" t="s">
        <v>46</v>
      </c>
      <c r="C21" s="8" t="s">
        <v>39</v>
      </c>
      <c r="D21" s="9" t="n">
        <v>340</v>
      </c>
      <c r="E21" s="10" t="n">
        <v>29</v>
      </c>
      <c r="F21" s="10" t="n">
        <f aca="false">D21*E21</f>
        <v>9860</v>
      </c>
      <c r="G21" s="13" t="s">
        <v>32</v>
      </c>
      <c r="H21" s="7" t="n">
        <v>3</v>
      </c>
      <c r="I21" s="12"/>
      <c r="J21" s="12" t="n">
        <f aca="false">IF(I21&lt;&gt;"",I21*D21,F21)</f>
        <v>9860</v>
      </c>
      <c r="K21" s="8" t="s">
        <v>47</v>
      </c>
    </row>
    <row r="22" customFormat="false" ht="23.85" hidden="false" customHeight="false" outlineLevel="0" collapsed="false">
      <c r="A22" s="7" t="s">
        <v>34</v>
      </c>
      <c r="B22" s="8" t="s">
        <v>48</v>
      </c>
      <c r="C22" s="8" t="s">
        <v>39</v>
      </c>
      <c r="D22" s="9" t="n">
        <v>40</v>
      </c>
      <c r="E22" s="10" t="n">
        <v>29</v>
      </c>
      <c r="F22" s="10" t="n">
        <f aca="false">D22*E22</f>
        <v>1160</v>
      </c>
      <c r="G22" s="13" t="s">
        <v>32</v>
      </c>
      <c r="H22" s="7" t="n">
        <v>3</v>
      </c>
      <c r="I22" s="12"/>
      <c r="J22" s="12" t="n">
        <f aca="false">IF(I22&lt;&gt;"",I22*D22,F22)</f>
        <v>1160</v>
      </c>
      <c r="K22" s="8" t="s">
        <v>47</v>
      </c>
    </row>
    <row r="23" customFormat="false" ht="23.85" hidden="false" customHeight="false" outlineLevel="0" collapsed="false">
      <c r="A23" s="7" t="s">
        <v>34</v>
      </c>
      <c r="B23" s="8" t="s">
        <v>49</v>
      </c>
      <c r="C23" s="8" t="s">
        <v>31</v>
      </c>
      <c r="D23" s="9" t="n">
        <v>29</v>
      </c>
      <c r="E23" s="10" t="n">
        <v>539</v>
      </c>
      <c r="F23" s="10" t="n">
        <f aca="false">D23*E23</f>
        <v>15631</v>
      </c>
      <c r="G23" s="11" t="s">
        <v>27</v>
      </c>
      <c r="H23" s="7" t="n">
        <v>2</v>
      </c>
      <c r="I23" s="12"/>
      <c r="J23" s="12" t="n">
        <f aca="false">IF(I23&lt;&gt;"",I23*D23,F23)</f>
        <v>15631</v>
      </c>
      <c r="K23" s="8" t="s">
        <v>36</v>
      </c>
    </row>
    <row r="24" customFormat="false" ht="23.85" hidden="false" customHeight="false" outlineLevel="0" collapsed="false">
      <c r="A24" s="7" t="s">
        <v>50</v>
      </c>
      <c r="B24" s="8" t="s">
        <v>51</v>
      </c>
      <c r="C24" s="8" t="s">
        <v>26</v>
      </c>
      <c r="D24" s="9"/>
      <c r="E24" s="10"/>
      <c r="F24" s="10" t="n">
        <v>1</v>
      </c>
      <c r="G24" s="11" t="s">
        <v>27</v>
      </c>
      <c r="H24" s="7"/>
      <c r="I24" s="12"/>
      <c r="J24" s="12" t="n">
        <f aca="false">IF(I24&lt;&gt;"",I24*D24,F24)</f>
        <v>1</v>
      </c>
      <c r="K24" s="8" t="s">
        <v>28</v>
      </c>
    </row>
    <row r="25" customFormat="false" ht="23.85" hidden="false" customHeight="false" outlineLevel="0" collapsed="false">
      <c r="A25" s="7" t="s">
        <v>52</v>
      </c>
      <c r="B25" s="8" t="s">
        <v>53</v>
      </c>
      <c r="C25" s="8" t="s">
        <v>26</v>
      </c>
      <c r="D25" s="9"/>
      <c r="E25" s="10"/>
      <c r="F25" s="10" t="n">
        <v>1</v>
      </c>
      <c r="G25" s="11" t="s">
        <v>27</v>
      </c>
      <c r="H25" s="7"/>
      <c r="I25" s="12"/>
      <c r="J25" s="12" t="n">
        <f aca="false">IF(I25&lt;&gt;"",I25*D25,F25)</f>
        <v>1</v>
      </c>
      <c r="K25" s="8" t="s">
        <v>28</v>
      </c>
    </row>
    <row r="26" customFormat="false" ht="23.85" hidden="false" customHeight="false" outlineLevel="0" collapsed="false">
      <c r="A26" s="7" t="s">
        <v>54</v>
      </c>
      <c r="B26" s="8" t="s">
        <v>55</v>
      </c>
      <c r="C26" s="8" t="s">
        <v>26</v>
      </c>
      <c r="D26" s="9"/>
      <c r="E26" s="10"/>
      <c r="F26" s="10" t="n">
        <v>1</v>
      </c>
      <c r="G26" s="11" t="s">
        <v>27</v>
      </c>
      <c r="H26" s="7"/>
      <c r="I26" s="12"/>
      <c r="J26" s="12" t="n">
        <f aca="false">IF(I26&lt;&gt;"",I26*D26,F26)</f>
        <v>1</v>
      </c>
      <c r="K26" s="8" t="s">
        <v>28</v>
      </c>
    </row>
    <row r="27" customFormat="false" ht="21.75" hidden="false" customHeight="true" outlineLevel="0" collapsed="false">
      <c r="A27" s="6" t="s">
        <v>56</v>
      </c>
      <c r="B27" s="6"/>
      <c r="C27" s="6"/>
      <c r="D27" s="6"/>
      <c r="E27" s="6"/>
      <c r="F27" s="6"/>
      <c r="G27" s="6"/>
      <c r="H27" s="6"/>
      <c r="I27" s="6"/>
      <c r="J27" s="6"/>
      <c r="K27" s="6"/>
    </row>
    <row r="28" customFormat="false" ht="23.85" hidden="false" customHeight="false" outlineLevel="0" collapsed="false">
      <c r="A28" s="7" t="s">
        <v>57</v>
      </c>
      <c r="B28" s="8" t="s">
        <v>58</v>
      </c>
      <c r="C28" s="8" t="s">
        <v>31</v>
      </c>
      <c r="D28" s="9" t="n">
        <v>1</v>
      </c>
      <c r="E28" s="10" t="n">
        <v>6245</v>
      </c>
      <c r="F28" s="10" t="n">
        <f aca="false">D28*E28</f>
        <v>6245</v>
      </c>
      <c r="G28" s="13" t="s">
        <v>32</v>
      </c>
      <c r="H28" s="7" t="n">
        <v>4</v>
      </c>
      <c r="I28" s="12"/>
      <c r="J28" s="12" t="n">
        <f aca="false">IF(I28&lt;&gt;"",I28*D28,F28)</f>
        <v>6245</v>
      </c>
      <c r="K28" s="8" t="s">
        <v>33</v>
      </c>
    </row>
    <row r="29" customFormat="false" ht="23.85" hidden="false" customHeight="false" outlineLevel="0" collapsed="false">
      <c r="A29" s="7" t="s">
        <v>57</v>
      </c>
      <c r="B29" s="8" t="s">
        <v>59</v>
      </c>
      <c r="C29" s="8" t="s">
        <v>31</v>
      </c>
      <c r="D29" s="9" t="n">
        <v>1</v>
      </c>
      <c r="E29" s="10" t="n">
        <v>6369</v>
      </c>
      <c r="F29" s="10" t="n">
        <f aca="false">D29*E29</f>
        <v>6369</v>
      </c>
      <c r="G29" s="13" t="s">
        <v>32</v>
      </c>
      <c r="H29" s="7" t="n">
        <v>8</v>
      </c>
      <c r="I29" s="12"/>
      <c r="J29" s="12" t="n">
        <f aca="false">IF(I29&lt;&gt;"",I29*D29,F29)</f>
        <v>6369</v>
      </c>
      <c r="K29" s="8" t="s">
        <v>42</v>
      </c>
    </row>
    <row r="30" customFormat="false" ht="23.85" hidden="false" customHeight="false" outlineLevel="0" collapsed="false">
      <c r="A30" s="7" t="s">
        <v>60</v>
      </c>
      <c r="B30" s="8" t="s">
        <v>61</v>
      </c>
      <c r="C30" s="8" t="s">
        <v>31</v>
      </c>
      <c r="D30" s="9" t="n">
        <v>21</v>
      </c>
      <c r="E30" s="10" t="n">
        <v>18379</v>
      </c>
      <c r="F30" s="10" t="n">
        <f aca="false">D30*E30</f>
        <v>385959</v>
      </c>
      <c r="G30" s="14" t="s">
        <v>44</v>
      </c>
      <c r="H30" s="7" t="n">
        <v>5</v>
      </c>
      <c r="I30" s="12"/>
      <c r="J30" s="12" t="n">
        <f aca="false">IF(I30&lt;&gt;"",I30*D30,F30)</f>
        <v>385959</v>
      </c>
      <c r="K30" s="8" t="s">
        <v>62</v>
      </c>
    </row>
    <row r="31" customFormat="false" ht="23.85" hidden="false" customHeight="false" outlineLevel="0" collapsed="false">
      <c r="A31" s="7" t="s">
        <v>60</v>
      </c>
      <c r="B31" s="8" t="s">
        <v>63</v>
      </c>
      <c r="C31" s="8" t="s">
        <v>31</v>
      </c>
      <c r="D31" s="9" t="n">
        <v>4</v>
      </c>
      <c r="E31" s="10" t="n">
        <v>23942</v>
      </c>
      <c r="F31" s="10" t="n">
        <f aca="false">D31*E31</f>
        <v>95768</v>
      </c>
      <c r="G31" s="14" t="s">
        <v>44</v>
      </c>
      <c r="H31" s="7" t="n">
        <v>8</v>
      </c>
      <c r="I31" s="12"/>
      <c r="J31" s="12" t="n">
        <f aca="false">IF(I31&lt;&gt;"",I31*D31,F31)</f>
        <v>95768</v>
      </c>
      <c r="K31" s="8" t="s">
        <v>42</v>
      </c>
    </row>
    <row r="32" customFormat="false" ht="23.85" hidden="false" customHeight="false" outlineLevel="0" collapsed="false">
      <c r="A32" s="7" t="s">
        <v>60</v>
      </c>
      <c r="B32" s="8" t="s">
        <v>64</v>
      </c>
      <c r="C32" s="8" t="s">
        <v>31</v>
      </c>
      <c r="D32" s="9" t="n">
        <v>5</v>
      </c>
      <c r="E32" s="10" t="n">
        <v>24969</v>
      </c>
      <c r="F32" s="10" t="n">
        <f aca="false">D32*E32</f>
        <v>124845</v>
      </c>
      <c r="G32" s="13" t="s">
        <v>32</v>
      </c>
      <c r="H32" s="7" t="n">
        <v>6</v>
      </c>
      <c r="I32" s="12"/>
      <c r="J32" s="12" t="n">
        <f aca="false">IF(I32&lt;&gt;"",I32*D32,F32)</f>
        <v>124845</v>
      </c>
      <c r="K32" s="8" t="s">
        <v>45</v>
      </c>
    </row>
    <row r="33" customFormat="false" ht="23.85" hidden="false" customHeight="false" outlineLevel="0" collapsed="false">
      <c r="A33" s="7" t="s">
        <v>65</v>
      </c>
      <c r="B33" s="8" t="s">
        <v>66</v>
      </c>
      <c r="C33" s="8" t="s">
        <v>31</v>
      </c>
      <c r="D33" s="9" t="n">
        <v>26</v>
      </c>
      <c r="E33" s="10" t="n">
        <v>1048</v>
      </c>
      <c r="F33" s="10" t="n">
        <f aca="false">D33*E33</f>
        <v>27248</v>
      </c>
      <c r="G33" s="14" t="s">
        <v>44</v>
      </c>
      <c r="H33" s="7" t="n">
        <v>8</v>
      </c>
      <c r="I33" s="12"/>
      <c r="J33" s="12" t="n">
        <f aca="false">IF(I33&lt;&gt;"",I33*D33,F33)</f>
        <v>27248</v>
      </c>
      <c r="K33" s="8" t="s">
        <v>42</v>
      </c>
    </row>
    <row r="34" customFormat="false" ht="23.85" hidden="false" customHeight="false" outlineLevel="0" collapsed="false">
      <c r="A34" s="7" t="s">
        <v>65</v>
      </c>
      <c r="B34" s="8" t="s">
        <v>67</v>
      </c>
      <c r="C34" s="8" t="s">
        <v>31</v>
      </c>
      <c r="D34" s="9" t="n">
        <v>4</v>
      </c>
      <c r="E34" s="10" t="n">
        <v>1595</v>
      </c>
      <c r="F34" s="10" t="n">
        <f aca="false">D34*E34</f>
        <v>6380</v>
      </c>
      <c r="G34" s="11" t="s">
        <v>27</v>
      </c>
      <c r="H34" s="7" t="n">
        <v>2</v>
      </c>
      <c r="I34" s="12"/>
      <c r="J34" s="12" t="n">
        <f aca="false">IF(I34&lt;&gt;"",I34*D34,F34)</f>
        <v>6380</v>
      </c>
      <c r="K34" s="8" t="s">
        <v>36</v>
      </c>
    </row>
    <row r="35" customFormat="false" ht="23.85" hidden="false" customHeight="false" outlineLevel="0" collapsed="false">
      <c r="A35" s="7" t="s">
        <v>68</v>
      </c>
      <c r="B35" s="8" t="s">
        <v>69</v>
      </c>
      <c r="C35" s="8" t="s">
        <v>39</v>
      </c>
      <c r="D35" s="9" t="n">
        <v>1150</v>
      </c>
      <c r="E35" s="10" t="n">
        <v>47</v>
      </c>
      <c r="F35" s="10" t="n">
        <f aca="false">D35*E35</f>
        <v>54050</v>
      </c>
      <c r="G35" s="13" t="s">
        <v>32</v>
      </c>
      <c r="H35" s="7" t="n">
        <v>5</v>
      </c>
      <c r="I35" s="12"/>
      <c r="J35" s="12" t="n">
        <f aca="false">IF(I35&lt;&gt;"",I35*D35,F35)</f>
        <v>54050</v>
      </c>
      <c r="K35" s="8" t="s">
        <v>62</v>
      </c>
    </row>
    <row r="36" customFormat="false" ht="23.85" hidden="false" customHeight="false" outlineLevel="0" collapsed="false">
      <c r="A36" s="7" t="s">
        <v>70</v>
      </c>
      <c r="B36" s="8" t="s">
        <v>71</v>
      </c>
      <c r="C36" s="8" t="s">
        <v>39</v>
      </c>
      <c r="D36" s="9" t="n">
        <v>100</v>
      </c>
      <c r="E36" s="10" t="n">
        <v>151</v>
      </c>
      <c r="F36" s="10" t="n">
        <f aca="false">D36*E36</f>
        <v>15100</v>
      </c>
      <c r="G36" s="13" t="s">
        <v>32</v>
      </c>
      <c r="H36" s="7" t="n">
        <v>4</v>
      </c>
      <c r="I36" s="12"/>
      <c r="J36" s="12" t="n">
        <f aca="false">IF(I36&lt;&gt;"",I36*D36,F36)</f>
        <v>15100</v>
      </c>
      <c r="K36" s="8" t="s">
        <v>33</v>
      </c>
    </row>
    <row r="37" customFormat="false" ht="23.85" hidden="false" customHeight="false" outlineLevel="0" collapsed="false">
      <c r="A37" s="7" t="s">
        <v>72</v>
      </c>
      <c r="B37" s="8" t="s">
        <v>73</v>
      </c>
      <c r="C37" s="8" t="s">
        <v>39</v>
      </c>
      <c r="D37" s="9" t="n">
        <v>1300</v>
      </c>
      <c r="E37" s="10" t="n">
        <v>233</v>
      </c>
      <c r="F37" s="10" t="n">
        <f aca="false">D37*E37</f>
        <v>302900</v>
      </c>
      <c r="G37" s="13" t="s">
        <v>32</v>
      </c>
      <c r="H37" s="7" t="n">
        <v>8</v>
      </c>
      <c r="I37" s="12"/>
      <c r="J37" s="12" t="n">
        <f aca="false">IF(I37&lt;&gt;"",I37*D37,F37)</f>
        <v>302900</v>
      </c>
      <c r="K37" s="8" t="s">
        <v>42</v>
      </c>
    </row>
    <row r="38" customFormat="false" ht="23.85" hidden="false" customHeight="false" outlineLevel="0" collapsed="false">
      <c r="A38" s="7" t="s">
        <v>74</v>
      </c>
      <c r="B38" s="8" t="s">
        <v>75</v>
      </c>
      <c r="C38" s="8" t="s">
        <v>26</v>
      </c>
      <c r="D38" s="9"/>
      <c r="E38" s="10"/>
      <c r="F38" s="10"/>
      <c r="G38" s="11" t="s">
        <v>27</v>
      </c>
      <c r="H38" s="7"/>
      <c r="I38" s="12"/>
      <c r="J38" s="12" t="n">
        <f aca="false">IF(I38&lt;&gt;"",I38*D38,F38)</f>
        <v>0</v>
      </c>
      <c r="K38" s="8" t="s">
        <v>28</v>
      </c>
    </row>
    <row r="39" customFormat="false" ht="23.85" hidden="false" customHeight="false" outlineLevel="0" collapsed="false">
      <c r="A39" s="7" t="s">
        <v>76</v>
      </c>
      <c r="B39" s="8" t="s">
        <v>77</v>
      </c>
      <c r="C39" s="8" t="s">
        <v>31</v>
      </c>
      <c r="D39" s="9" t="n">
        <v>34</v>
      </c>
      <c r="E39" s="10" t="n">
        <v>1</v>
      </c>
      <c r="F39" s="10" t="n">
        <f aca="false">D39*E39</f>
        <v>34</v>
      </c>
      <c r="G39" s="13" t="s">
        <v>32</v>
      </c>
      <c r="H39" s="7" t="n">
        <v>8</v>
      </c>
      <c r="I39" s="12"/>
      <c r="J39" s="12" t="n">
        <f aca="false">IF(I39&lt;&gt;"",I39*D39,F39)</f>
        <v>34</v>
      </c>
      <c r="K39" s="8" t="s">
        <v>42</v>
      </c>
    </row>
    <row r="40" customFormat="false" ht="23.85" hidden="false" customHeight="false" outlineLevel="0" collapsed="false">
      <c r="A40" s="7" t="s">
        <v>78</v>
      </c>
      <c r="B40" s="8" t="s">
        <v>79</v>
      </c>
      <c r="C40" s="8" t="s">
        <v>31</v>
      </c>
      <c r="D40" s="9" t="n">
        <v>1</v>
      </c>
      <c r="E40" s="10" t="n">
        <v>10945</v>
      </c>
      <c r="F40" s="10" t="n">
        <f aca="false">D40*E40</f>
        <v>10945</v>
      </c>
      <c r="G40" s="13" t="s">
        <v>32</v>
      </c>
      <c r="H40" s="7" t="n">
        <v>6</v>
      </c>
      <c r="I40" s="12"/>
      <c r="J40" s="12" t="n">
        <f aca="false">IF(I40&lt;&gt;"",I40*D40,F40)</f>
        <v>10945</v>
      </c>
      <c r="K40" s="8" t="s">
        <v>45</v>
      </c>
    </row>
    <row r="41" customFormat="false" ht="23.85" hidden="false" customHeight="false" outlineLevel="0" collapsed="false">
      <c r="A41" s="7" t="s">
        <v>78</v>
      </c>
      <c r="B41" s="8" t="s">
        <v>80</v>
      </c>
      <c r="C41" s="8" t="s">
        <v>31</v>
      </c>
      <c r="D41" s="9" t="n">
        <v>1</v>
      </c>
      <c r="E41" s="10" t="n">
        <v>5634</v>
      </c>
      <c r="F41" s="10" t="n">
        <f aca="false">D41*E41</f>
        <v>5634</v>
      </c>
      <c r="G41" s="14" t="s">
        <v>44</v>
      </c>
      <c r="H41" s="7" t="n">
        <v>5</v>
      </c>
      <c r="I41" s="12"/>
      <c r="J41" s="12" t="n">
        <f aca="false">IF(I41&lt;&gt;"",I41*D41,F41)</f>
        <v>5634</v>
      </c>
      <c r="K41" s="8" t="s">
        <v>62</v>
      </c>
    </row>
    <row r="42" customFormat="false" ht="23.85" hidden="false" customHeight="false" outlineLevel="0" collapsed="false">
      <c r="A42" s="7" t="s">
        <v>81</v>
      </c>
      <c r="B42" s="8" t="s">
        <v>82</v>
      </c>
      <c r="C42" s="8" t="s">
        <v>31</v>
      </c>
      <c r="D42" s="9" t="n">
        <v>25</v>
      </c>
      <c r="E42" s="10" t="n">
        <v>16493</v>
      </c>
      <c r="F42" s="10" t="n">
        <f aca="false">D42*E42</f>
        <v>412325</v>
      </c>
      <c r="G42" s="13" t="s">
        <v>32</v>
      </c>
      <c r="H42" s="7" t="n">
        <v>8</v>
      </c>
      <c r="I42" s="12"/>
      <c r="J42" s="12" t="n">
        <f aca="false">IF(I42&lt;&gt;"",I42*D42,F42)</f>
        <v>412325</v>
      </c>
      <c r="K42" s="8" t="s">
        <v>42</v>
      </c>
    </row>
    <row r="43" customFormat="false" ht="23.85" hidden="false" customHeight="false" outlineLevel="0" collapsed="false">
      <c r="A43" s="7" t="s">
        <v>81</v>
      </c>
      <c r="B43" s="8" t="s">
        <v>83</v>
      </c>
      <c r="C43" s="8" t="s">
        <v>31</v>
      </c>
      <c r="D43" s="9" t="n">
        <v>4</v>
      </c>
      <c r="E43" s="10" t="n">
        <v>14696</v>
      </c>
      <c r="F43" s="10" t="n">
        <f aca="false">D43*E43</f>
        <v>58784</v>
      </c>
      <c r="G43" s="11" t="s">
        <v>27</v>
      </c>
      <c r="H43" s="7" t="n">
        <v>2</v>
      </c>
      <c r="I43" s="12"/>
      <c r="J43" s="12" t="n">
        <f aca="false">IF(I43&lt;&gt;"",I43*D43,F43)</f>
        <v>58784</v>
      </c>
      <c r="K43" s="8" t="s">
        <v>36</v>
      </c>
    </row>
    <row r="44" customFormat="false" ht="23.85" hidden="false" customHeight="false" outlineLevel="0" collapsed="false">
      <c r="A44" s="7" t="s">
        <v>81</v>
      </c>
      <c r="B44" s="8" t="s">
        <v>84</v>
      </c>
      <c r="C44" s="8" t="s">
        <v>31</v>
      </c>
      <c r="D44" s="9" t="n">
        <v>5</v>
      </c>
      <c r="E44" s="10" t="n">
        <v>16261</v>
      </c>
      <c r="F44" s="10" t="n">
        <f aca="false">D44*E44</f>
        <v>81305</v>
      </c>
      <c r="G44" s="13" t="s">
        <v>32</v>
      </c>
      <c r="H44" s="7" t="n">
        <v>4</v>
      </c>
      <c r="I44" s="12"/>
      <c r="J44" s="12" t="n">
        <f aca="false">IF(I44&lt;&gt;"",I44*D44,F44)</f>
        <v>81305</v>
      </c>
      <c r="K44" s="8" t="s">
        <v>33</v>
      </c>
    </row>
    <row r="45" customFormat="false" ht="21.75" hidden="false" customHeight="true" outlineLevel="0" collapsed="false">
      <c r="A45" s="6" t="s">
        <v>85</v>
      </c>
      <c r="B45" s="6"/>
      <c r="C45" s="6"/>
      <c r="D45" s="6"/>
      <c r="E45" s="6"/>
      <c r="F45" s="6"/>
      <c r="G45" s="6"/>
      <c r="H45" s="6"/>
      <c r="I45" s="6"/>
      <c r="J45" s="6"/>
      <c r="K45" s="6"/>
    </row>
    <row r="46" customFormat="false" ht="23.85" hidden="false" customHeight="false" outlineLevel="0" collapsed="false">
      <c r="A46" s="7" t="s">
        <v>86</v>
      </c>
      <c r="B46" s="8" t="s">
        <v>87</v>
      </c>
      <c r="C46" s="8" t="s">
        <v>26</v>
      </c>
      <c r="D46" s="9"/>
      <c r="E46" s="10"/>
      <c r="F46" s="10" t="n">
        <v>2690</v>
      </c>
      <c r="G46" s="11" t="s">
        <v>27</v>
      </c>
      <c r="H46" s="7"/>
      <c r="I46" s="12"/>
      <c r="J46" s="12" t="n">
        <f aca="false">IF(I46&lt;&gt;"",I46*D46,F46)</f>
        <v>2690</v>
      </c>
      <c r="K46" s="8" t="s">
        <v>28</v>
      </c>
    </row>
    <row r="47" customFormat="false" ht="23.85" hidden="false" customHeight="false" outlineLevel="0" collapsed="false">
      <c r="A47" s="7" t="s">
        <v>88</v>
      </c>
      <c r="B47" s="8" t="s">
        <v>89</v>
      </c>
      <c r="C47" s="8" t="s">
        <v>26</v>
      </c>
      <c r="D47" s="9"/>
      <c r="E47" s="10"/>
      <c r="F47" s="10" t="n">
        <v>1340</v>
      </c>
      <c r="G47" s="11" t="s">
        <v>27</v>
      </c>
      <c r="H47" s="7"/>
      <c r="I47" s="12"/>
      <c r="J47" s="12" t="n">
        <f aca="false">IF(I47&lt;&gt;"",I47*D47,F47)</f>
        <v>1340</v>
      </c>
      <c r="K47" s="8" t="s">
        <v>28</v>
      </c>
    </row>
    <row r="48" customFormat="false" ht="23.85" hidden="false" customHeight="false" outlineLevel="0" collapsed="false">
      <c r="A48" s="7" t="s">
        <v>90</v>
      </c>
      <c r="B48" s="8" t="s">
        <v>91</v>
      </c>
      <c r="C48" s="8" t="s">
        <v>26</v>
      </c>
      <c r="D48" s="9"/>
      <c r="E48" s="10"/>
      <c r="F48" s="10" t="n">
        <v>2690</v>
      </c>
      <c r="G48" s="11" t="s">
        <v>27</v>
      </c>
      <c r="H48" s="7"/>
      <c r="I48" s="12"/>
      <c r="J48" s="12" t="n">
        <f aca="false">IF(I48&lt;&gt;"",I48*D48,F48)</f>
        <v>2690</v>
      </c>
      <c r="K48" s="8" t="s">
        <v>28</v>
      </c>
    </row>
    <row r="49" customFormat="false" ht="23.85" hidden="false" customHeight="false" outlineLevel="0" collapsed="false">
      <c r="A49" s="7" t="s">
        <v>92</v>
      </c>
      <c r="B49" s="8" t="s">
        <v>93</v>
      </c>
      <c r="C49" s="8" t="s">
        <v>26</v>
      </c>
      <c r="D49" s="9"/>
      <c r="E49" s="10"/>
      <c r="F49" s="10" t="n">
        <v>2190</v>
      </c>
      <c r="G49" s="11" t="s">
        <v>27</v>
      </c>
      <c r="H49" s="7"/>
      <c r="I49" s="12"/>
      <c r="J49" s="12" t="n">
        <f aca="false">IF(I49&lt;&gt;"",I49*D49,F49)</f>
        <v>2190</v>
      </c>
      <c r="K49" s="8" t="s">
        <v>28</v>
      </c>
    </row>
    <row r="50" customFormat="false" ht="23.85" hidden="false" customHeight="false" outlineLevel="0" collapsed="false">
      <c r="A50" s="7" t="s">
        <v>94</v>
      </c>
      <c r="B50" s="8" t="s">
        <v>95</v>
      </c>
      <c r="C50" s="8" t="s">
        <v>26</v>
      </c>
      <c r="D50" s="9"/>
      <c r="E50" s="10"/>
      <c r="F50" s="10" t="n">
        <v>15100</v>
      </c>
      <c r="G50" s="11" t="s">
        <v>27</v>
      </c>
      <c r="H50" s="7"/>
      <c r="I50" s="12"/>
      <c r="J50" s="12" t="n">
        <f aca="false">IF(I50&lt;&gt;"",I50*D50,F50)</f>
        <v>15100</v>
      </c>
      <c r="K50" s="8" t="s">
        <v>28</v>
      </c>
    </row>
    <row r="51" customFormat="false" ht="23.85" hidden="false" customHeight="false" outlineLevel="0" collapsed="false">
      <c r="A51" s="7" t="s">
        <v>96</v>
      </c>
      <c r="B51" s="8" t="s">
        <v>97</v>
      </c>
      <c r="C51" s="8" t="s">
        <v>26</v>
      </c>
      <c r="D51" s="9"/>
      <c r="E51" s="10"/>
      <c r="F51" s="10" t="n">
        <v>6220</v>
      </c>
      <c r="G51" s="11" t="s">
        <v>27</v>
      </c>
      <c r="H51" s="7"/>
      <c r="I51" s="12"/>
      <c r="J51" s="12" t="n">
        <f aca="false">IF(I51&lt;&gt;"",I51*D51,F51)</f>
        <v>6220</v>
      </c>
      <c r="K51" s="8" t="s">
        <v>28</v>
      </c>
    </row>
    <row r="52" customFormat="false" ht="23.85" hidden="false" customHeight="false" outlineLevel="0" collapsed="false">
      <c r="A52" s="7" t="s">
        <v>98</v>
      </c>
      <c r="B52" s="8" t="s">
        <v>99</v>
      </c>
      <c r="C52" s="8" t="s">
        <v>26</v>
      </c>
      <c r="D52" s="9"/>
      <c r="E52" s="10"/>
      <c r="F52" s="10" t="n">
        <v>10500</v>
      </c>
      <c r="G52" s="11" t="s">
        <v>27</v>
      </c>
      <c r="H52" s="7"/>
      <c r="I52" s="12"/>
      <c r="J52" s="12" t="n">
        <f aca="false">IF(I52&lt;&gt;"",I52*D52,F52)</f>
        <v>10500</v>
      </c>
      <c r="K52" s="8" t="s">
        <v>28</v>
      </c>
    </row>
    <row r="53" customFormat="false" ht="23.85" hidden="false" customHeight="false" outlineLevel="0" collapsed="false">
      <c r="A53" s="7" t="s">
        <v>100</v>
      </c>
      <c r="B53" s="8" t="s">
        <v>101</v>
      </c>
      <c r="C53" s="8" t="s">
        <v>26</v>
      </c>
      <c r="D53" s="9"/>
      <c r="E53" s="10"/>
      <c r="F53" s="10" t="n">
        <v>757</v>
      </c>
      <c r="G53" s="11" t="s">
        <v>27</v>
      </c>
      <c r="H53" s="7"/>
      <c r="I53" s="12"/>
      <c r="J53" s="12" t="n">
        <f aca="false">IF(I53&lt;&gt;"",I53*D53,F53)</f>
        <v>757</v>
      </c>
      <c r="K53" s="8" t="s">
        <v>28</v>
      </c>
    </row>
    <row r="54" customFormat="false" ht="23.85" hidden="false" customHeight="false" outlineLevel="0" collapsed="false">
      <c r="A54" s="7" t="s">
        <v>102</v>
      </c>
      <c r="B54" s="8" t="s">
        <v>103</v>
      </c>
      <c r="C54" s="8" t="s">
        <v>26</v>
      </c>
      <c r="D54" s="9"/>
      <c r="E54" s="10"/>
      <c r="F54" s="10" t="n">
        <v>1340</v>
      </c>
      <c r="G54" s="11" t="s">
        <v>27</v>
      </c>
      <c r="H54" s="7"/>
      <c r="I54" s="12"/>
      <c r="J54" s="12" t="n">
        <f aca="false">IF(I54&lt;&gt;"",I54*D54,F54)</f>
        <v>1340</v>
      </c>
      <c r="K54" s="8" t="s">
        <v>28</v>
      </c>
    </row>
    <row r="55" customFormat="false" ht="23.85" hidden="false" customHeight="false" outlineLevel="0" collapsed="false">
      <c r="A55" s="7" t="s">
        <v>104</v>
      </c>
      <c r="B55" s="8" t="s">
        <v>105</v>
      </c>
      <c r="C55" s="8" t="s">
        <v>26</v>
      </c>
      <c r="D55" s="9"/>
      <c r="E55" s="10"/>
      <c r="F55" s="10" t="n">
        <v>8050</v>
      </c>
      <c r="G55" s="11" t="s">
        <v>27</v>
      </c>
      <c r="H55" s="7"/>
      <c r="I55" s="12"/>
      <c r="J55" s="12" t="n">
        <f aca="false">IF(I55&lt;&gt;"",I55*D55,F55)</f>
        <v>8050</v>
      </c>
      <c r="K55" s="8" t="s">
        <v>28</v>
      </c>
    </row>
    <row r="56" customFormat="false" ht="23.85" hidden="false" customHeight="false" outlineLevel="0" collapsed="false">
      <c r="A56" s="7" t="s">
        <v>106</v>
      </c>
      <c r="B56" s="8" t="s">
        <v>107</v>
      </c>
      <c r="C56" s="8" t="s">
        <v>26</v>
      </c>
      <c r="D56" s="9"/>
      <c r="E56" s="10"/>
      <c r="F56" s="10" t="n">
        <v>1340</v>
      </c>
      <c r="G56" s="11" t="s">
        <v>27</v>
      </c>
      <c r="H56" s="7"/>
      <c r="I56" s="12"/>
      <c r="J56" s="12" t="n">
        <f aca="false">IF(I56&lt;&gt;"",I56*D56,F56)</f>
        <v>1340</v>
      </c>
      <c r="K56" s="8" t="s">
        <v>28</v>
      </c>
    </row>
    <row r="57" customFormat="false" ht="23.85" hidden="false" customHeight="false" outlineLevel="0" collapsed="false">
      <c r="A57" s="7" t="s">
        <v>108</v>
      </c>
      <c r="B57" s="8" t="s">
        <v>109</v>
      </c>
      <c r="C57" s="8" t="s">
        <v>26</v>
      </c>
      <c r="D57" s="9"/>
      <c r="E57" s="10"/>
      <c r="F57" s="10" t="n">
        <v>1300</v>
      </c>
      <c r="G57" s="11" t="s">
        <v>27</v>
      </c>
      <c r="H57" s="7"/>
      <c r="I57" s="12"/>
      <c r="J57" s="12" t="n">
        <f aca="false">IF(I57&lt;&gt;"",I57*D57,F57)</f>
        <v>1300</v>
      </c>
      <c r="K57" s="8" t="s">
        <v>28</v>
      </c>
    </row>
    <row r="58" customFormat="false" ht="23.85" hidden="false" customHeight="false" outlineLevel="0" collapsed="false">
      <c r="A58" s="7" t="s">
        <v>110</v>
      </c>
      <c r="B58" s="8" t="s">
        <v>111</v>
      </c>
      <c r="C58" s="8" t="s">
        <v>26</v>
      </c>
      <c r="D58" s="9"/>
      <c r="E58" s="10"/>
      <c r="F58" s="10" t="n">
        <v>1300</v>
      </c>
      <c r="G58" s="11" t="s">
        <v>27</v>
      </c>
      <c r="H58" s="7"/>
      <c r="I58" s="12"/>
      <c r="J58" s="12" t="n">
        <f aca="false">IF(I58&lt;&gt;"",I58*D58,F58)</f>
        <v>1300</v>
      </c>
      <c r="K58" s="8" t="s">
        <v>28</v>
      </c>
    </row>
    <row r="59" customFormat="false" ht="23.85" hidden="false" customHeight="false" outlineLevel="0" collapsed="false">
      <c r="A59" s="7" t="s">
        <v>112</v>
      </c>
      <c r="B59" s="8" t="s">
        <v>113</v>
      </c>
      <c r="C59" s="8" t="s">
        <v>26</v>
      </c>
      <c r="D59" s="9"/>
      <c r="E59" s="10"/>
      <c r="F59" s="10" t="n">
        <v>1340</v>
      </c>
      <c r="G59" s="11" t="s">
        <v>27</v>
      </c>
      <c r="H59" s="7"/>
      <c r="I59" s="12"/>
      <c r="J59" s="12" t="n">
        <f aca="false">IF(I59&lt;&gt;"",I59*D59,F59)</f>
        <v>1340</v>
      </c>
      <c r="K59" s="8" t="s">
        <v>28</v>
      </c>
    </row>
    <row r="60" customFormat="false" ht="23.85" hidden="false" customHeight="false" outlineLevel="0" collapsed="false">
      <c r="A60" s="7" t="s">
        <v>114</v>
      </c>
      <c r="B60" s="8" t="s">
        <v>115</v>
      </c>
      <c r="C60" s="8" t="s">
        <v>26</v>
      </c>
      <c r="D60" s="9"/>
      <c r="E60" s="10"/>
      <c r="F60" s="10" t="n">
        <v>1340</v>
      </c>
      <c r="G60" s="11" t="s">
        <v>27</v>
      </c>
      <c r="H60" s="7"/>
      <c r="I60" s="12"/>
      <c r="J60" s="12" t="n">
        <f aca="false">IF(I60&lt;&gt;"",I60*D60,F60)</f>
        <v>1340</v>
      </c>
      <c r="K60" s="8" t="s">
        <v>28</v>
      </c>
    </row>
    <row r="61" customFormat="false" ht="23.85" hidden="false" customHeight="false" outlineLevel="0" collapsed="false">
      <c r="A61" s="7" t="s">
        <v>116</v>
      </c>
      <c r="B61" s="8" t="s">
        <v>117</v>
      </c>
      <c r="C61" s="8" t="s">
        <v>26</v>
      </c>
      <c r="D61" s="9"/>
      <c r="E61" s="10"/>
      <c r="F61" s="10" t="n">
        <v>1340</v>
      </c>
      <c r="G61" s="11" t="s">
        <v>27</v>
      </c>
      <c r="H61" s="7"/>
      <c r="I61" s="12"/>
      <c r="J61" s="12" t="n">
        <f aca="false">IF(I61&lt;&gt;"",I61*D61,F61)</f>
        <v>1340</v>
      </c>
      <c r="K61" s="8" t="s">
        <v>28</v>
      </c>
    </row>
    <row r="62" customFormat="false" ht="23.85" hidden="false" customHeight="false" outlineLevel="0" collapsed="false">
      <c r="A62" s="7" t="s">
        <v>118</v>
      </c>
      <c r="B62" s="8" t="s">
        <v>119</v>
      </c>
      <c r="C62" s="8" t="s">
        <v>26</v>
      </c>
      <c r="D62" s="9"/>
      <c r="E62" s="10"/>
      <c r="F62" s="10" t="n">
        <v>1340</v>
      </c>
      <c r="G62" s="11" t="s">
        <v>27</v>
      </c>
      <c r="H62" s="7"/>
      <c r="I62" s="12"/>
      <c r="J62" s="12" t="n">
        <f aca="false">IF(I62&lt;&gt;"",I62*D62,F62)</f>
        <v>1340</v>
      </c>
      <c r="K62" s="8" t="s">
        <v>28</v>
      </c>
    </row>
    <row r="64" customFormat="false" ht="24" hidden="false" customHeight="true" outlineLevel="0" collapsed="false">
      <c r="B64" s="15" t="s">
        <v>120</v>
      </c>
      <c r="F64" s="16" t="n">
        <f aca="false">SUM(F12:F62)</f>
        <v>1741710</v>
      </c>
      <c r="J64" s="16" t="n">
        <f aca="false">SUM(J12:J62)</f>
        <v>1741710</v>
      </c>
    </row>
  </sheetData>
  <mergeCells count="3">
    <mergeCell ref="A12:K12"/>
    <mergeCell ref="A27:K27"/>
    <mergeCell ref="A45:K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7" t="s">
        <v>121</v>
      </c>
    </row>
    <row r="3" customFormat="false" ht="15" hidden="false" customHeight="false" outlineLevel="0" collapsed="false">
      <c r="A3" s="18" t="s">
        <v>122</v>
      </c>
    </row>
    <row r="4" customFormat="false" ht="15" hidden="false" customHeight="false" outlineLevel="0" collapsed="false">
      <c r="A4" s="4" t="s">
        <v>123</v>
      </c>
      <c r="B4" s="19" t="n">
        <v>48</v>
      </c>
    </row>
    <row r="5" customFormat="false" ht="15" hidden="false" customHeight="false" outlineLevel="0" collapsed="false">
      <c r="A5" s="4" t="s">
        <v>124</v>
      </c>
      <c r="B5" s="19" t="n">
        <v>26</v>
      </c>
    </row>
    <row r="6" customFormat="false" ht="15" hidden="false" customHeight="false" outlineLevel="0" collapsed="false">
      <c r="A6" s="4" t="s">
        <v>125</v>
      </c>
      <c r="B6" s="19" t="n">
        <v>22</v>
      </c>
    </row>
    <row r="7" customFormat="false" ht="15" hidden="false" customHeight="false" outlineLevel="0" collapsed="false">
      <c r="A7" s="4" t="s">
        <v>126</v>
      </c>
      <c r="B7" s="19" t="n">
        <v>22</v>
      </c>
    </row>
    <row r="10" customFormat="false" ht="15" hidden="false" customHeight="false" outlineLevel="0" collapsed="false">
      <c r="A10" s="18" t="s">
        <v>127</v>
      </c>
    </row>
    <row r="11" customFormat="false" ht="15" hidden="false" customHeight="false" outlineLevel="0" collapsed="false">
      <c r="A11" s="20" t="s">
        <v>128</v>
      </c>
      <c r="B11" s="19" t="n">
        <f aca="false">COUNTIF(Anbud!G:G, "hög")</f>
        <v>5</v>
      </c>
    </row>
    <row r="12" customFormat="false" ht="15" hidden="false" customHeight="false" outlineLevel="0" collapsed="false">
      <c r="A12" s="21" t="s">
        <v>129</v>
      </c>
      <c r="B12" s="19" t="n">
        <f aca="false">COUNTIF(Anbud!G:G, "medel")</f>
        <v>14</v>
      </c>
    </row>
    <row r="13" customFormat="false" ht="15" hidden="false" customHeight="false" outlineLevel="0" collapsed="false">
      <c r="A13" s="22" t="s">
        <v>130</v>
      </c>
      <c r="B13" s="19" t="n">
        <f aca="false">COUNTIF(Anbud!G:G, "låg")</f>
        <v>29</v>
      </c>
    </row>
    <row r="16" customFormat="false" ht="15" hidden="false" customHeight="false" outlineLevel="0" collapsed="false">
      <c r="A16" s="18" t="s">
        <v>131</v>
      </c>
    </row>
    <row r="17" customFormat="false" ht="15" hidden="false" customHeight="false" outlineLevel="0" collapsed="false">
      <c r="A17" s="4" t="s">
        <v>132</v>
      </c>
      <c r="B17" s="23" t="n">
        <f aca="false">SUM(Anbud!F:F)</f>
        <v>3483420</v>
      </c>
    </row>
    <row r="18" customFormat="false" ht="15" hidden="false" customHeight="false" outlineLevel="0" collapsed="false">
      <c r="A18" s="4" t="s">
        <v>133</v>
      </c>
      <c r="B18" s="23" t="n">
        <f aca="false">SUM(Anbud!J:J)</f>
        <v>3483420</v>
      </c>
    </row>
    <row r="21" customFormat="false" ht="15" hidden="false" customHeight="false" outlineLevel="0" collapsed="false">
      <c r="A21" s="18" t="s">
        <v>134</v>
      </c>
    </row>
    <row r="22" customFormat="false" ht="15" hidden="false" customHeight="false" outlineLevel="0" collapsed="false">
      <c r="A22" s="4" t="s">
        <v>135</v>
      </c>
    </row>
    <row r="23" customFormat="false" ht="15" hidden="false" customHeight="false" outlineLevel="0" collapsed="false">
      <c r="A23" s="4" t="s">
        <v>136</v>
      </c>
    </row>
    <row r="24" customFormat="false" ht="15" hidden="false" customHeight="false" outlineLevel="0" collapsed="false">
      <c r="A24" s="4" t="s">
        <v>137</v>
      </c>
    </row>
    <row r="25" customFormat="false" ht="15" hidden="false" customHeight="false" outlineLevel="0" collapsed="false">
      <c r="A25" s="4" t="s">
        <v>138</v>
      </c>
    </row>
    <row r="26" customFormat="false" ht="15" hidden="false" customHeight="false" outlineLevel="0" collapsed="false">
      <c r="A26" s="4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0"/>
  </cols>
  <sheetData>
    <row r="1" customFormat="false" ht="22.05" hidden="false" customHeight="false" outlineLevel="0" collapsed="false">
      <c r="A1" s="17" t="s">
        <v>140</v>
      </c>
    </row>
    <row r="2" customFormat="false" ht="15" hidden="false" customHeight="false" outlineLevel="0" collapsed="false">
      <c r="A2" s="2" t="s">
        <v>141</v>
      </c>
    </row>
    <row r="4" customFormat="false" ht="25.5" hidden="false" customHeight="true" outlineLevel="0" collapsed="false">
      <c r="A4" s="5" t="s">
        <v>12</v>
      </c>
      <c r="B4" s="5" t="s">
        <v>13</v>
      </c>
      <c r="C4" s="5" t="s">
        <v>142</v>
      </c>
      <c r="D4" s="5" t="s">
        <v>143</v>
      </c>
      <c r="E4" s="5" t="s">
        <v>144</v>
      </c>
      <c r="F4" s="5" t="s">
        <v>145</v>
      </c>
      <c r="G4" s="5" t="s">
        <v>146</v>
      </c>
      <c r="H4" s="5" t="s">
        <v>147</v>
      </c>
    </row>
    <row r="5" customFormat="false" ht="15" hidden="false" customHeight="false" outlineLevel="0" collapsed="false">
      <c r="A5" s="7" t="s">
        <v>29</v>
      </c>
      <c r="B5" s="8" t="s">
        <v>30</v>
      </c>
      <c r="C5" s="7" t="n">
        <v>1</v>
      </c>
      <c r="D5" s="8" t="s">
        <v>148</v>
      </c>
      <c r="E5" s="8" t="s">
        <v>149</v>
      </c>
      <c r="F5" s="24" t="n">
        <v>573</v>
      </c>
      <c r="G5" s="24" t="n">
        <v>596</v>
      </c>
      <c r="H5" s="25" t="n">
        <v>0.79</v>
      </c>
    </row>
    <row r="6" customFormat="false" ht="23.85" hidden="false" customHeight="false" outlineLevel="0" collapsed="false">
      <c r="A6" s="26"/>
      <c r="B6" s="27"/>
      <c r="C6" s="26" t="n">
        <v>2</v>
      </c>
      <c r="D6" s="27" t="s">
        <v>150</v>
      </c>
      <c r="E6" s="27" t="s">
        <v>151</v>
      </c>
      <c r="F6" s="28" t="n">
        <v>663</v>
      </c>
      <c r="G6" s="28" t="n">
        <v>690</v>
      </c>
      <c r="H6" s="29" t="n">
        <v>0.88</v>
      </c>
    </row>
    <row r="7" customFormat="false" ht="15" hidden="false" customHeight="false" outlineLevel="0" collapsed="false">
      <c r="A7" s="26"/>
      <c r="B7" s="27"/>
      <c r="C7" s="26" t="n">
        <v>3</v>
      </c>
      <c r="D7" s="27" t="s">
        <v>152</v>
      </c>
      <c r="E7" s="27" t="s">
        <v>153</v>
      </c>
      <c r="F7" s="28" t="n">
        <v>629</v>
      </c>
      <c r="G7" s="28" t="n">
        <v>654</v>
      </c>
      <c r="H7" s="29" t="n">
        <v>0.82</v>
      </c>
    </row>
    <row r="9" customFormat="false" ht="23.85" hidden="false" customHeight="false" outlineLevel="0" collapsed="false">
      <c r="A9" s="7" t="s">
        <v>34</v>
      </c>
      <c r="B9" s="8" t="s">
        <v>35</v>
      </c>
      <c r="C9" s="7" t="n">
        <v>1</v>
      </c>
      <c r="D9" s="8" t="s">
        <v>150</v>
      </c>
      <c r="E9" s="8" t="s">
        <v>151</v>
      </c>
      <c r="F9" s="24" t="n">
        <v>376</v>
      </c>
      <c r="G9" s="24" t="n">
        <v>391</v>
      </c>
      <c r="H9" s="25" t="n">
        <v>0.94</v>
      </c>
    </row>
    <row r="10" customFormat="false" ht="15" hidden="false" customHeight="false" outlineLevel="0" collapsed="false">
      <c r="A10" s="26"/>
      <c r="B10" s="27"/>
      <c r="C10" s="26" t="n">
        <v>2</v>
      </c>
      <c r="D10" s="27" t="s">
        <v>152</v>
      </c>
      <c r="E10" s="27" t="s">
        <v>153</v>
      </c>
      <c r="F10" s="28" t="n">
        <v>392</v>
      </c>
      <c r="G10" s="28" t="n">
        <v>408</v>
      </c>
      <c r="H10" s="29" t="n">
        <v>0.81</v>
      </c>
    </row>
    <row r="11" customFormat="false" ht="23.85" hidden="false" customHeight="false" outlineLevel="0" collapsed="false">
      <c r="A11" s="26"/>
      <c r="B11" s="27"/>
      <c r="C11" s="26" t="n">
        <v>3</v>
      </c>
      <c r="D11" s="27" t="s">
        <v>154</v>
      </c>
      <c r="E11" s="27" t="s">
        <v>155</v>
      </c>
      <c r="F11" s="28" t="n">
        <v>335</v>
      </c>
      <c r="G11" s="28" t="n">
        <v>348</v>
      </c>
      <c r="H11" s="29" t="n">
        <v>0.91</v>
      </c>
    </row>
    <row r="13" customFormat="false" ht="15" hidden="false" customHeight="false" outlineLevel="0" collapsed="false">
      <c r="A13" s="7" t="s">
        <v>34</v>
      </c>
      <c r="B13" s="8" t="s">
        <v>37</v>
      </c>
      <c r="C13" s="7" t="n">
        <v>1</v>
      </c>
      <c r="D13" s="8" t="s">
        <v>156</v>
      </c>
      <c r="E13" s="8" t="s">
        <v>157</v>
      </c>
      <c r="F13" s="24" t="n">
        <v>424</v>
      </c>
      <c r="G13" s="24" t="n">
        <v>441</v>
      </c>
      <c r="H13" s="25" t="n">
        <v>0.91</v>
      </c>
    </row>
    <row r="14" customFormat="false" ht="15" hidden="false" customHeight="false" outlineLevel="0" collapsed="false">
      <c r="A14" s="26"/>
      <c r="B14" s="27"/>
      <c r="C14" s="26" t="n">
        <v>2</v>
      </c>
      <c r="D14" s="27" t="s">
        <v>148</v>
      </c>
      <c r="E14" s="27" t="s">
        <v>149</v>
      </c>
      <c r="F14" s="28" t="n">
        <v>410</v>
      </c>
      <c r="G14" s="28" t="n">
        <v>426</v>
      </c>
      <c r="H14" s="29" t="n">
        <v>0.89</v>
      </c>
    </row>
    <row r="15" customFormat="false" ht="23.85" hidden="false" customHeight="false" outlineLevel="0" collapsed="false">
      <c r="A15" s="26"/>
      <c r="B15" s="27"/>
      <c r="C15" s="26" t="n">
        <v>3</v>
      </c>
      <c r="D15" s="27" t="s">
        <v>150</v>
      </c>
      <c r="E15" s="27" t="s">
        <v>151</v>
      </c>
      <c r="F15" s="28" t="n">
        <v>402</v>
      </c>
      <c r="G15" s="28" t="n">
        <v>418</v>
      </c>
      <c r="H15" s="29" t="n">
        <v>0.96</v>
      </c>
    </row>
    <row r="17" customFormat="false" ht="15" hidden="false" customHeight="false" outlineLevel="0" collapsed="false">
      <c r="A17" s="7" t="s">
        <v>34</v>
      </c>
      <c r="B17" s="8" t="s">
        <v>38</v>
      </c>
      <c r="C17" s="7" t="n">
        <v>1</v>
      </c>
      <c r="D17" s="8" t="s">
        <v>148</v>
      </c>
      <c r="E17" s="8" t="s">
        <v>149</v>
      </c>
      <c r="F17" s="24" t="n">
        <v>25</v>
      </c>
      <c r="G17" s="24" t="n">
        <v>26</v>
      </c>
      <c r="H17" s="25" t="n">
        <v>0.87</v>
      </c>
    </row>
    <row r="18" customFormat="false" ht="23.85" hidden="false" customHeight="false" outlineLevel="0" collapsed="false">
      <c r="A18" s="26"/>
      <c r="B18" s="27"/>
      <c r="C18" s="26" t="n">
        <v>2</v>
      </c>
      <c r="D18" s="27" t="s">
        <v>150</v>
      </c>
      <c r="E18" s="27" t="s">
        <v>151</v>
      </c>
      <c r="F18" s="28" t="n">
        <v>30</v>
      </c>
      <c r="G18" s="28" t="n">
        <v>31</v>
      </c>
      <c r="H18" s="29" t="n">
        <v>0.93</v>
      </c>
    </row>
    <row r="19" customFormat="false" ht="15" hidden="false" customHeight="false" outlineLevel="0" collapsed="false">
      <c r="A19" s="26"/>
      <c r="B19" s="27"/>
      <c r="C19" s="26" t="n">
        <v>3</v>
      </c>
      <c r="D19" s="27" t="s">
        <v>152</v>
      </c>
      <c r="E19" s="27" t="s">
        <v>153</v>
      </c>
      <c r="F19" s="28" t="n">
        <v>25</v>
      </c>
      <c r="G19" s="28" t="n">
        <v>26</v>
      </c>
      <c r="H19" s="29" t="n">
        <v>0.81</v>
      </c>
    </row>
    <row r="21" customFormat="false" ht="15" hidden="false" customHeight="false" outlineLevel="0" collapsed="false">
      <c r="A21" s="7" t="s">
        <v>34</v>
      </c>
      <c r="B21" s="8" t="s">
        <v>40</v>
      </c>
      <c r="C21" s="7" t="n">
        <v>1</v>
      </c>
      <c r="D21" s="8" t="s">
        <v>148</v>
      </c>
      <c r="E21" s="8" t="s">
        <v>149</v>
      </c>
      <c r="F21" s="24" t="n">
        <v>30</v>
      </c>
      <c r="G21" s="24" t="n">
        <v>31</v>
      </c>
      <c r="H21" s="25" t="n">
        <v>0.89</v>
      </c>
    </row>
    <row r="22" customFormat="false" ht="23.85" hidden="false" customHeight="false" outlineLevel="0" collapsed="false">
      <c r="A22" s="26"/>
      <c r="B22" s="27"/>
      <c r="C22" s="26" t="n">
        <v>2</v>
      </c>
      <c r="D22" s="27" t="s">
        <v>150</v>
      </c>
      <c r="E22" s="27" t="s">
        <v>151</v>
      </c>
      <c r="F22" s="28" t="n">
        <v>27</v>
      </c>
      <c r="G22" s="28" t="n">
        <v>28</v>
      </c>
      <c r="H22" s="29" t="n">
        <v>0.89</v>
      </c>
    </row>
    <row r="23" customFormat="false" ht="15" hidden="false" customHeight="false" outlineLevel="0" collapsed="false">
      <c r="A23" s="26"/>
      <c r="B23" s="27"/>
      <c r="C23" s="26" t="n">
        <v>3</v>
      </c>
      <c r="D23" s="27" t="s">
        <v>152</v>
      </c>
      <c r="E23" s="27" t="s">
        <v>153</v>
      </c>
      <c r="F23" s="28" t="n">
        <v>28</v>
      </c>
      <c r="G23" s="28" t="n">
        <v>29</v>
      </c>
      <c r="H23" s="29" t="n">
        <v>0.83</v>
      </c>
    </row>
    <row r="25" customFormat="false" ht="15" hidden="false" customHeight="false" outlineLevel="0" collapsed="false">
      <c r="A25" s="7" t="s">
        <v>34</v>
      </c>
      <c r="B25" s="8" t="s">
        <v>41</v>
      </c>
      <c r="C25" s="7" t="n">
        <v>1</v>
      </c>
      <c r="D25" s="8" t="s">
        <v>148</v>
      </c>
      <c r="E25" s="8" t="s">
        <v>149</v>
      </c>
      <c r="F25" s="24" t="n">
        <v>28</v>
      </c>
      <c r="G25" s="24" t="n">
        <v>29</v>
      </c>
      <c r="H25" s="25" t="n">
        <v>0.95</v>
      </c>
    </row>
    <row r="26" customFormat="false" ht="23.85" hidden="false" customHeight="false" outlineLevel="0" collapsed="false">
      <c r="A26" s="26"/>
      <c r="B26" s="27"/>
      <c r="C26" s="26" t="n">
        <v>2</v>
      </c>
      <c r="D26" s="27" t="s">
        <v>150</v>
      </c>
      <c r="E26" s="27" t="s">
        <v>151</v>
      </c>
      <c r="F26" s="28" t="n">
        <v>30</v>
      </c>
      <c r="G26" s="28" t="n">
        <v>31</v>
      </c>
      <c r="H26" s="29" t="n">
        <v>0.8</v>
      </c>
    </row>
    <row r="27" customFormat="false" ht="15" hidden="false" customHeight="false" outlineLevel="0" collapsed="false">
      <c r="A27" s="26"/>
      <c r="B27" s="27"/>
      <c r="C27" s="26" t="n">
        <v>3</v>
      </c>
      <c r="D27" s="27" t="s">
        <v>152</v>
      </c>
      <c r="E27" s="27" t="s">
        <v>153</v>
      </c>
      <c r="F27" s="28" t="n">
        <v>31</v>
      </c>
      <c r="G27" s="28" t="n">
        <v>32</v>
      </c>
      <c r="H27" s="29" t="n">
        <v>0.92</v>
      </c>
    </row>
    <row r="29" customFormat="false" ht="15" hidden="false" customHeight="false" outlineLevel="0" collapsed="false">
      <c r="A29" s="7" t="s">
        <v>34</v>
      </c>
      <c r="B29" s="8" t="s">
        <v>43</v>
      </c>
      <c r="C29" s="7" t="n">
        <v>1</v>
      </c>
      <c r="D29" s="8" t="s">
        <v>156</v>
      </c>
      <c r="E29" s="8" t="s">
        <v>157</v>
      </c>
      <c r="F29" s="24" t="n">
        <v>30</v>
      </c>
      <c r="G29" s="24" t="n">
        <v>31</v>
      </c>
      <c r="H29" s="25" t="n">
        <v>0.84</v>
      </c>
    </row>
    <row r="30" customFormat="false" ht="15" hidden="false" customHeight="false" outlineLevel="0" collapsed="false">
      <c r="A30" s="26"/>
      <c r="B30" s="27"/>
      <c r="C30" s="26" t="n">
        <v>2</v>
      </c>
      <c r="D30" s="27" t="s">
        <v>148</v>
      </c>
      <c r="E30" s="27" t="s">
        <v>149</v>
      </c>
      <c r="F30" s="28" t="n">
        <v>26</v>
      </c>
      <c r="G30" s="28" t="n">
        <v>27</v>
      </c>
      <c r="H30" s="29" t="n">
        <v>0.81</v>
      </c>
    </row>
    <row r="31" customFormat="false" ht="23.85" hidden="false" customHeight="false" outlineLevel="0" collapsed="false">
      <c r="A31" s="26"/>
      <c r="B31" s="27"/>
      <c r="C31" s="26" t="n">
        <v>3</v>
      </c>
      <c r="D31" s="27" t="s">
        <v>150</v>
      </c>
      <c r="E31" s="27" t="s">
        <v>151</v>
      </c>
      <c r="F31" s="28" t="n">
        <v>24</v>
      </c>
      <c r="G31" s="28" t="n">
        <v>25</v>
      </c>
      <c r="H31" s="29" t="n">
        <v>0.91</v>
      </c>
    </row>
    <row r="33" customFormat="false" ht="23.85" hidden="false" customHeight="false" outlineLevel="0" collapsed="false">
      <c r="A33" s="7" t="s">
        <v>34</v>
      </c>
      <c r="B33" s="8" t="s">
        <v>46</v>
      </c>
      <c r="C33" s="7" t="n">
        <v>1</v>
      </c>
      <c r="D33" s="8" t="s">
        <v>150</v>
      </c>
      <c r="E33" s="8" t="s">
        <v>151</v>
      </c>
      <c r="F33" s="24" t="n">
        <v>30</v>
      </c>
      <c r="G33" s="24" t="n">
        <v>31</v>
      </c>
      <c r="H33" s="25" t="n">
        <v>0.95</v>
      </c>
    </row>
    <row r="34" customFormat="false" ht="15" hidden="false" customHeight="false" outlineLevel="0" collapsed="false">
      <c r="A34" s="26"/>
      <c r="B34" s="27"/>
      <c r="C34" s="26" t="n">
        <v>2</v>
      </c>
      <c r="D34" s="27" t="s">
        <v>152</v>
      </c>
      <c r="E34" s="27" t="s">
        <v>153</v>
      </c>
      <c r="F34" s="28" t="n">
        <v>30</v>
      </c>
      <c r="G34" s="28" t="n">
        <v>31</v>
      </c>
      <c r="H34" s="29" t="n">
        <v>0.87</v>
      </c>
    </row>
    <row r="35" customFormat="false" ht="23.85" hidden="false" customHeight="false" outlineLevel="0" collapsed="false">
      <c r="A35" s="26"/>
      <c r="B35" s="27"/>
      <c r="C35" s="26" t="n">
        <v>3</v>
      </c>
      <c r="D35" s="27" t="s">
        <v>154</v>
      </c>
      <c r="E35" s="27" t="s">
        <v>155</v>
      </c>
      <c r="F35" s="28" t="n">
        <v>25</v>
      </c>
      <c r="G35" s="28" t="n">
        <v>26</v>
      </c>
      <c r="H35" s="29" t="n">
        <v>0.89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2026-05-01T08:03:21Z</dcterms:created>
  <dc:creator>openpyxl</dc:creator>
  <dc:description/>
  <dc:language>en-US</dc:language>
  <cp:lastModifiedBy/>
  <dcterms:modified xsi:type="dcterms:W3CDTF">2026-05-01T08:03:21Z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